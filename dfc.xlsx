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im.abud\Downloads\"/>
    </mc:Choice>
  </mc:AlternateContent>
  <xr:revisionPtr revIDLastSave="0" documentId="8_{5170FD1E-73FA-447F-BA6B-869F44F84198}" xr6:coauthVersionLast="47" xr6:coauthVersionMax="47" xr10:uidLastSave="{00000000-0000-0000-0000-000000000000}"/>
  <bookViews>
    <workbookView xWindow="-20520" yWindow="-120" windowWidth="20640" windowHeight="11040" xr2:uid="{E5C7E9EF-A10F-49D8-8590-6C35E44ACA1B}"/>
  </bookViews>
  <sheets>
    <sheet name="dfc" sheetId="1" r:id="rId1"/>
  </sheets>
  <calcPr calcId="0"/>
</workbook>
</file>

<file path=xl/calcChain.xml><?xml version="1.0" encoding="utf-8"?>
<calcChain xmlns="http://schemas.openxmlformats.org/spreadsheetml/2006/main">
  <c r="I10" i="1" l="1"/>
  <c r="I13" i="1"/>
  <c r="I14" i="1"/>
  <c r="I23" i="1"/>
  <c r="I24" i="1"/>
  <c r="I32" i="1"/>
</calcChain>
</file>

<file path=xl/sharedStrings.xml><?xml version="1.0" encoding="utf-8"?>
<sst xmlns="http://schemas.openxmlformats.org/spreadsheetml/2006/main" count="335" uniqueCount="114">
  <si>
    <t>Código</t>
  </si>
  <si>
    <t>Classificação</t>
  </si>
  <si>
    <t>Tipo</t>
  </si>
  <si>
    <t>Apelido</t>
  </si>
  <si>
    <t>Nome</t>
  </si>
  <si>
    <t>Negrito</t>
  </si>
  <si>
    <t>Sublinhado</t>
  </si>
  <si>
    <t>Sem valor</t>
  </si>
  <si>
    <t>Fórmula</t>
  </si>
  <si>
    <t>Conta Referência</t>
  </si>
  <si>
    <t>Nome Conta Referência</t>
  </si>
  <si>
    <t>Condição de impressão</t>
  </si>
  <si>
    <t>Nota explicativa</t>
  </si>
  <si>
    <t>Natureza</t>
  </si>
  <si>
    <t>Participante</t>
  </si>
  <si>
    <t>Tipo de fórmula de participante</t>
  </si>
  <si>
    <t>Conta de participante</t>
  </si>
  <si>
    <t>Indicador de saldo</t>
  </si>
  <si>
    <t>T</t>
  </si>
  <si>
    <t>LUCRO AJUSTADO</t>
  </si>
  <si>
    <t>Sim</t>
  </si>
  <si>
    <t>Não</t>
  </si>
  <si>
    <t>VALFOR(27)+VALFOR(35)+VALFOR(43)+VALFOR(51)+VALFOR(60)</t>
  </si>
  <si>
    <t>Devedor</t>
  </si>
  <si>
    <t>Nenhum</t>
  </si>
  <si>
    <t>1.01</t>
  </si>
  <si>
    <t>Resultado Líquido do Exercício</t>
  </si>
  <si>
    <t>CONTA(30000)+CONTA(40000)</t>
  </si>
  <si>
    <t>1.02</t>
  </si>
  <si>
    <t>Depreciação e Amortização</t>
  </si>
  <si>
    <t>SALDEB(40052)+SALDEB(40276)+SALDEB(50076)+SALDEB(60086)+SALDEB(60092)</t>
  </si>
  <si>
    <t>1.03</t>
  </si>
  <si>
    <t>Resultado da Venda de Ativo Imobilizado</t>
  </si>
  <si>
    <t>1.04</t>
  </si>
  <si>
    <t>Resultado da Equivalência Patrimonial</t>
  </si>
  <si>
    <t>SALATU(30092)</t>
  </si>
  <si>
    <t>1.05</t>
  </si>
  <si>
    <t>Recebimentos de Lucros e Dividendos de Subsidiárias</t>
  </si>
  <si>
    <t>SALATU(30088)</t>
  </si>
  <si>
    <t>FLUXOS DE CAIXA ORIGINÁRIOS DE ATIVIDADES OPERACIONAIS</t>
  </si>
  <si>
    <t>Credor</t>
  </si>
  <si>
    <t>2.01</t>
  </si>
  <si>
    <t>(Aumento) Redução Em Contas a Receber</t>
  </si>
  <si>
    <t>2.02</t>
  </si>
  <si>
    <t>(Aumento) Redução em Adiantamentos</t>
  </si>
  <si>
    <t>2.03</t>
  </si>
  <si>
    <t>Aumento (Redução) Em Impostos a Compensar</t>
  </si>
  <si>
    <t>2.04</t>
  </si>
  <si>
    <t>(Aumento) Redução Em Estoques</t>
  </si>
  <si>
    <t>2.05</t>
  </si>
  <si>
    <t>(Aumento) Redução Em Despesas Antecipadas</t>
  </si>
  <si>
    <t>2.06</t>
  </si>
  <si>
    <t>(Aumento) Redução Em Outras Contas a Receber</t>
  </si>
  <si>
    <t>2.07</t>
  </si>
  <si>
    <t>Aumento (Redução) Em Fornecedores</t>
  </si>
  <si>
    <t>MOVPER(20002)</t>
  </si>
  <si>
    <t>2.08</t>
  </si>
  <si>
    <t>Aumento (Redução) Em Obrigações Trabalhistas</t>
  </si>
  <si>
    <t>MOVPER(20351)</t>
  </si>
  <si>
    <t>2.09</t>
  </si>
  <si>
    <t>Aumento (Redução) Em Obrigações Tributarias</t>
  </si>
  <si>
    <t>MOVPER(20390)+MOVPER(21166)</t>
  </si>
  <si>
    <t>2.10</t>
  </si>
  <si>
    <t>Aumento (Redução) Em Outras Obrigações</t>
  </si>
  <si>
    <t>MOVPER(20434)+MOVPER(21187)+MOVPER(20850)-MOVPER(80024)</t>
  </si>
  <si>
    <t>2.11</t>
  </si>
  <si>
    <t>Aumento (Redução) Em Parcelamentos</t>
  </si>
  <si>
    <t>MOVPER(21043)+MOVPER(20511)</t>
  </si>
  <si>
    <t>2.12</t>
  </si>
  <si>
    <t>Disponibilidades Liquidas Geradas Atividades Operacionais</t>
  </si>
  <si>
    <t>VALFOR(19)+VALFOR(78)+VALFOR(86)+VALFOR(94)+VALFOR(108)+VALFOR(116)+VALFOR(304)+VALFOR(124)+VALFOR(132)+VALFOR(140)+VALFOR(305)+VALFOR(309)</t>
  </si>
  <si>
    <t>FLUXOS DE CAIXA ORIGINÁRIOS DE ATIVIDADES DE INVESTIMENTOS</t>
  </si>
  <si>
    <t>3.01</t>
  </si>
  <si>
    <t>Recebimentos Por Vendas de Ativo Inv./Imob./Intang.</t>
  </si>
  <si>
    <t>SALATU(30107)</t>
  </si>
  <si>
    <t>3.03</t>
  </si>
  <si>
    <t>(-) Compras de Imobilizado</t>
  </si>
  <si>
    <t>3.04</t>
  </si>
  <si>
    <t>(-) Aquisições em Investimentos</t>
  </si>
  <si>
    <t>3.05</t>
  </si>
  <si>
    <t>Baixa de Ativo Imobilizado</t>
  </si>
  <si>
    <t>3.06</t>
  </si>
  <si>
    <t>Disponibilidades Líquidas Geradas Atividades Investimentos</t>
  </si>
  <si>
    <t>VALFOR(175)+VALFOR(183)+VALFOR(191)+VALFOR(308)</t>
  </si>
  <si>
    <t>FLUXOS DE CAIXA ORIGINÁRIOS DE ATIVIDADES DE FINANCIAMENTOS</t>
  </si>
  <si>
    <t>4.01</t>
  </si>
  <si>
    <t>Integralização ou Aumento de Capital Social</t>
  </si>
  <si>
    <t>SALCRE(21214)</t>
  </si>
  <si>
    <t>4.02</t>
  </si>
  <si>
    <t>(-) Pagamento de Lucros e Dividendos</t>
  </si>
  <si>
    <t>SALATU(21250)+SALATU(21255)</t>
  </si>
  <si>
    <t>4.03</t>
  </si>
  <si>
    <t>Variação em Empréstimos/Financiamentos</t>
  </si>
  <si>
    <t>MOVPER(20019)+MOVPER(20997)+MOVPER(20649)</t>
  </si>
  <si>
    <t>4.05</t>
  </si>
  <si>
    <t>Dividendos Provisionados a Pagar</t>
  </si>
  <si>
    <t>MOVPER(80024)</t>
  </si>
  <si>
    <t>4.06</t>
  </si>
  <si>
    <t>Variação Empréstimos Pessoas Ligadas PJ/PF</t>
  </si>
  <si>
    <t>4.08</t>
  </si>
  <si>
    <t>Disponibilidades Líquidas Geradas Atividades Financiamentos</t>
  </si>
  <si>
    <t>VALFOR(221)+VALFOR(230)+VALFOR(248)+VALFOR(306)+VALFOR(179)</t>
  </si>
  <si>
    <t>Aumento (Redução) Nas Disponibilidades</t>
  </si>
  <si>
    <t>VALFOR(307)+VALFOR(205)+VALFOR(264)</t>
  </si>
  <si>
    <t>Disponibilidades no Início do Período</t>
  </si>
  <si>
    <t>SALANT(10002)</t>
  </si>
  <si>
    <t>Disponibilidades no Final do Período</t>
  </si>
  <si>
    <t>SALATU(10002)</t>
  </si>
  <si>
    <t>Variação das Disponibilidades</t>
  </si>
  <si>
    <t>VALFOR(299)-VALFOR(280)</t>
  </si>
  <si>
    <t>-MOVPER(10620)</t>
  </si>
  <si>
    <t>-MOVPER(10877)</t>
  </si>
  <si>
    <t>-SALATU(30106)-SALATU(40393)</t>
  </si>
  <si>
    <t>-MOVPER(10205)-MOVPER(10552)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</si>
</sst>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6" fillId="33" borderId="0" xfId="0" applyFont="1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F072D-EA3F-4691-84A0-9FDC3E400795}">
  <dimension ref="A1:R37"/>
  <sheetViews>
    <sheetView tabSelected="1" zoomScaleNormal="100" workbookViewId="0">
      <selection activeCell="E31" sqref="E31"/>
    </sheetView>
  </sheetViews>
  <sheetFormatPr defaultRowHeight="14.4" x14ac:dyDescent="0.3"/>
  <cols>
    <col min="3" max="3" width="3.21875" customWidth="1"/>
    <col min="5" max="5" width="56.5546875" customWidth="1"/>
    <col min="9" max="9" width="145.777343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s="2" customFormat="1" x14ac:dyDescent="0.3">
      <c r="A2" s="2">
        <v>19</v>
      </c>
      <c r="B2" s="2">
        <v>1</v>
      </c>
      <c r="C2" s="2" t="s">
        <v>18</v>
      </c>
      <c r="E2" s="2" t="s">
        <v>19</v>
      </c>
      <c r="F2" s="2" t="s">
        <v>20</v>
      </c>
      <c r="G2" s="2" t="s">
        <v>21</v>
      </c>
      <c r="H2" s="2" t="s">
        <v>21</v>
      </c>
      <c r="I2" s="2" t="s">
        <v>22</v>
      </c>
      <c r="N2" s="2" t="s">
        <v>23</v>
      </c>
      <c r="O2" s="2" t="s">
        <v>21</v>
      </c>
      <c r="R2" s="2" t="s">
        <v>24</v>
      </c>
    </row>
    <row r="3" spans="1:18" x14ac:dyDescent="0.3">
      <c r="A3">
        <v>27</v>
      </c>
      <c r="B3" t="s">
        <v>25</v>
      </c>
      <c r="E3" t="s">
        <v>26</v>
      </c>
      <c r="F3" t="s">
        <v>21</v>
      </c>
      <c r="G3" t="s">
        <v>21</v>
      </c>
      <c r="H3" t="s">
        <v>21</v>
      </c>
      <c r="I3" t="s">
        <v>27</v>
      </c>
      <c r="N3" t="s">
        <v>23</v>
      </c>
      <c r="O3" t="s">
        <v>21</v>
      </c>
      <c r="R3" t="s">
        <v>24</v>
      </c>
    </row>
    <row r="4" spans="1:18" x14ac:dyDescent="0.3">
      <c r="A4">
        <v>35</v>
      </c>
      <c r="B4" t="s">
        <v>28</v>
      </c>
      <c r="E4" t="s">
        <v>29</v>
      </c>
      <c r="F4" t="s">
        <v>21</v>
      </c>
      <c r="G4" t="s">
        <v>21</v>
      </c>
      <c r="H4" t="s">
        <v>21</v>
      </c>
      <c r="I4" t="s">
        <v>30</v>
      </c>
      <c r="N4" t="s">
        <v>23</v>
      </c>
      <c r="O4" t="s">
        <v>21</v>
      </c>
      <c r="R4" t="s">
        <v>24</v>
      </c>
    </row>
    <row r="5" spans="1:18" x14ac:dyDescent="0.3">
      <c r="A5">
        <v>43</v>
      </c>
      <c r="B5" t="s">
        <v>31</v>
      </c>
      <c r="E5" t="s">
        <v>32</v>
      </c>
      <c r="F5" t="s">
        <v>21</v>
      </c>
      <c r="G5" t="s">
        <v>21</v>
      </c>
      <c r="H5" t="s">
        <v>21</v>
      </c>
      <c r="I5" s="1" t="s">
        <v>112</v>
      </c>
      <c r="N5" t="s">
        <v>23</v>
      </c>
      <c r="O5" t="s">
        <v>21</v>
      </c>
      <c r="R5" t="s">
        <v>24</v>
      </c>
    </row>
    <row r="6" spans="1:18" x14ac:dyDescent="0.3">
      <c r="A6">
        <v>51</v>
      </c>
      <c r="B6" t="s">
        <v>33</v>
      </c>
      <c r="E6" t="s">
        <v>34</v>
      </c>
      <c r="F6" t="s">
        <v>21</v>
      </c>
      <c r="G6" t="s">
        <v>21</v>
      </c>
      <c r="H6" t="s">
        <v>21</v>
      </c>
      <c r="I6" t="s">
        <v>35</v>
      </c>
      <c r="N6" t="s">
        <v>23</v>
      </c>
      <c r="O6" t="s">
        <v>21</v>
      </c>
      <c r="R6" t="s">
        <v>24</v>
      </c>
    </row>
    <row r="7" spans="1:18" x14ac:dyDescent="0.3">
      <c r="A7">
        <v>60</v>
      </c>
      <c r="B7" t="s">
        <v>36</v>
      </c>
      <c r="E7" t="s">
        <v>37</v>
      </c>
      <c r="F7" t="s">
        <v>21</v>
      </c>
      <c r="G7" t="s">
        <v>21</v>
      </c>
      <c r="H7" t="s">
        <v>21</v>
      </c>
      <c r="I7" t="s">
        <v>38</v>
      </c>
      <c r="N7" t="s">
        <v>23</v>
      </c>
      <c r="O7" t="s">
        <v>21</v>
      </c>
      <c r="R7" t="s">
        <v>24</v>
      </c>
    </row>
    <row r="8" spans="1:18" s="2" customFormat="1" x14ac:dyDescent="0.3">
      <c r="A8" s="2">
        <v>303</v>
      </c>
      <c r="B8" s="2">
        <v>2</v>
      </c>
      <c r="C8" s="2" t="s">
        <v>18</v>
      </c>
      <c r="E8" s="2" t="s">
        <v>39</v>
      </c>
      <c r="F8" s="2" t="s">
        <v>20</v>
      </c>
      <c r="G8" s="2" t="s">
        <v>21</v>
      </c>
      <c r="H8" s="2" t="s">
        <v>20</v>
      </c>
      <c r="N8" s="2" t="s">
        <v>40</v>
      </c>
      <c r="O8" s="2" t="s">
        <v>21</v>
      </c>
      <c r="R8" s="2" t="s">
        <v>24</v>
      </c>
    </row>
    <row r="9" spans="1:18" x14ac:dyDescent="0.3">
      <c r="A9">
        <v>78</v>
      </c>
      <c r="B9" t="s">
        <v>41</v>
      </c>
      <c r="E9" t="s">
        <v>42</v>
      </c>
      <c r="F9" t="s">
        <v>21</v>
      </c>
      <c r="G9" t="s">
        <v>21</v>
      </c>
      <c r="H9" t="s">
        <v>21</v>
      </c>
      <c r="I9" s="1" t="s">
        <v>113</v>
      </c>
      <c r="N9" t="s">
        <v>23</v>
      </c>
      <c r="O9" t="s">
        <v>21</v>
      </c>
      <c r="R9" t="s">
        <v>24</v>
      </c>
    </row>
    <row r="10" spans="1:18" x14ac:dyDescent="0.3">
      <c r="A10">
        <v>86</v>
      </c>
      <c r="B10" t="s">
        <v>43</v>
      </c>
      <c r="E10" t="s">
        <v>44</v>
      </c>
      <c r="F10" t="s">
        <v>21</v>
      </c>
      <c r="G10" t="s">
        <v>21</v>
      </c>
      <c r="H10" t="s">
        <v>21</v>
      </c>
      <c r="I10" t="e">
        <f ca="1">-MOVPER(10595)</f>
        <v>#NAME?</v>
      </c>
      <c r="N10" t="s">
        <v>23</v>
      </c>
      <c r="O10" t="s">
        <v>21</v>
      </c>
      <c r="R10" t="s">
        <v>24</v>
      </c>
    </row>
    <row r="11" spans="1:18" x14ac:dyDescent="0.3">
      <c r="A11">
        <v>94</v>
      </c>
      <c r="B11" t="s">
        <v>45</v>
      </c>
      <c r="E11" t="s">
        <v>46</v>
      </c>
      <c r="F11" t="s">
        <v>21</v>
      </c>
      <c r="G11" t="s">
        <v>21</v>
      </c>
      <c r="H11" t="s">
        <v>21</v>
      </c>
      <c r="I11" s="1" t="s">
        <v>111</v>
      </c>
      <c r="N11" t="s">
        <v>23</v>
      </c>
      <c r="O11" t="s">
        <v>21</v>
      </c>
      <c r="R11" t="s">
        <v>24</v>
      </c>
    </row>
    <row r="12" spans="1:18" x14ac:dyDescent="0.3">
      <c r="A12">
        <v>108</v>
      </c>
      <c r="B12" t="s">
        <v>47</v>
      </c>
      <c r="E12" t="s">
        <v>48</v>
      </c>
      <c r="F12" t="s">
        <v>21</v>
      </c>
      <c r="G12" t="s">
        <v>21</v>
      </c>
      <c r="H12" t="s">
        <v>21</v>
      </c>
      <c r="I12" s="1" t="s">
        <v>110</v>
      </c>
      <c r="N12" t="s">
        <v>23</v>
      </c>
      <c r="O12" t="s">
        <v>21</v>
      </c>
      <c r="R12" t="s">
        <v>24</v>
      </c>
    </row>
    <row r="13" spans="1:18" x14ac:dyDescent="0.3">
      <c r="A13">
        <v>116</v>
      </c>
      <c r="B13" t="s">
        <v>49</v>
      </c>
      <c r="E13" t="s">
        <v>50</v>
      </c>
      <c r="F13" t="s">
        <v>21</v>
      </c>
      <c r="G13" t="s">
        <v>21</v>
      </c>
      <c r="H13" t="s">
        <v>21</v>
      </c>
      <c r="I13" t="e">
        <f ca="1">-MOVPER(10968)</f>
        <v>#NAME?</v>
      </c>
      <c r="N13" t="s">
        <v>23</v>
      </c>
      <c r="O13" t="s">
        <v>21</v>
      </c>
      <c r="R13" t="s">
        <v>24</v>
      </c>
    </row>
    <row r="14" spans="1:18" x14ac:dyDescent="0.3">
      <c r="A14">
        <v>304</v>
      </c>
      <c r="B14" t="s">
        <v>51</v>
      </c>
      <c r="E14" t="s">
        <v>52</v>
      </c>
      <c r="F14" t="s">
        <v>21</v>
      </c>
      <c r="G14" t="s">
        <v>21</v>
      </c>
      <c r="H14" t="s">
        <v>21</v>
      </c>
      <c r="I14" t="e">
        <f ca="1">-MOVPER(10999)</f>
        <v>#NAME?</v>
      </c>
      <c r="N14" t="s">
        <v>23</v>
      </c>
      <c r="O14" t="s">
        <v>21</v>
      </c>
      <c r="R14" t="s">
        <v>24</v>
      </c>
    </row>
    <row r="15" spans="1:18" x14ac:dyDescent="0.3">
      <c r="A15">
        <v>124</v>
      </c>
      <c r="B15" t="s">
        <v>53</v>
      </c>
      <c r="E15" t="s">
        <v>54</v>
      </c>
      <c r="F15" t="s">
        <v>21</v>
      </c>
      <c r="G15" t="s">
        <v>21</v>
      </c>
      <c r="H15" t="s">
        <v>21</v>
      </c>
      <c r="I15" t="s">
        <v>55</v>
      </c>
      <c r="N15" t="s">
        <v>23</v>
      </c>
      <c r="O15" t="s">
        <v>21</v>
      </c>
      <c r="R15" t="s">
        <v>24</v>
      </c>
    </row>
    <row r="16" spans="1:18" x14ac:dyDescent="0.3">
      <c r="A16">
        <v>132</v>
      </c>
      <c r="B16" t="s">
        <v>56</v>
      </c>
      <c r="E16" t="s">
        <v>57</v>
      </c>
      <c r="F16" t="s">
        <v>21</v>
      </c>
      <c r="G16" t="s">
        <v>21</v>
      </c>
      <c r="H16" t="s">
        <v>21</v>
      </c>
      <c r="I16" t="s">
        <v>58</v>
      </c>
      <c r="N16" t="s">
        <v>23</v>
      </c>
      <c r="O16" t="s">
        <v>21</v>
      </c>
      <c r="R16" t="s">
        <v>24</v>
      </c>
    </row>
    <row r="17" spans="1:18" x14ac:dyDescent="0.3">
      <c r="A17">
        <v>140</v>
      </c>
      <c r="B17" t="s">
        <v>59</v>
      </c>
      <c r="E17" t="s">
        <v>60</v>
      </c>
      <c r="F17" t="s">
        <v>21</v>
      </c>
      <c r="G17" t="s">
        <v>21</v>
      </c>
      <c r="H17" t="s">
        <v>21</v>
      </c>
      <c r="I17" t="s">
        <v>61</v>
      </c>
      <c r="N17" t="s">
        <v>23</v>
      </c>
      <c r="O17" t="s">
        <v>21</v>
      </c>
      <c r="R17" t="s">
        <v>24</v>
      </c>
    </row>
    <row r="18" spans="1:18" x14ac:dyDescent="0.3">
      <c r="A18">
        <v>305</v>
      </c>
      <c r="B18" t="s">
        <v>62</v>
      </c>
      <c r="E18" t="s">
        <v>63</v>
      </c>
      <c r="F18" t="s">
        <v>21</v>
      </c>
      <c r="G18" t="s">
        <v>21</v>
      </c>
      <c r="H18" t="s">
        <v>21</v>
      </c>
      <c r="I18" t="s">
        <v>64</v>
      </c>
      <c r="N18" t="s">
        <v>23</v>
      </c>
      <c r="O18" t="s">
        <v>21</v>
      </c>
      <c r="R18" t="s">
        <v>24</v>
      </c>
    </row>
    <row r="19" spans="1:18" x14ac:dyDescent="0.3">
      <c r="A19">
        <v>309</v>
      </c>
      <c r="B19" t="s">
        <v>65</v>
      </c>
      <c r="E19" t="s">
        <v>66</v>
      </c>
      <c r="F19" t="s">
        <v>21</v>
      </c>
      <c r="G19" t="s">
        <v>21</v>
      </c>
      <c r="H19" t="s">
        <v>21</v>
      </c>
      <c r="I19" t="s">
        <v>67</v>
      </c>
      <c r="N19" t="s">
        <v>23</v>
      </c>
      <c r="O19" t="s">
        <v>21</v>
      </c>
      <c r="R19" t="s">
        <v>24</v>
      </c>
    </row>
    <row r="20" spans="1:18" s="2" customFormat="1" x14ac:dyDescent="0.3">
      <c r="A20" s="2">
        <v>307</v>
      </c>
      <c r="B20" s="2" t="s">
        <v>68</v>
      </c>
      <c r="C20" s="2" t="s">
        <v>18</v>
      </c>
      <c r="E20" s="2" t="s">
        <v>69</v>
      </c>
      <c r="F20" s="2" t="s">
        <v>20</v>
      </c>
      <c r="G20" s="2" t="s">
        <v>21</v>
      </c>
      <c r="H20" s="2" t="s">
        <v>21</v>
      </c>
      <c r="I20" s="2" t="s">
        <v>70</v>
      </c>
      <c r="N20" s="2" t="s">
        <v>40</v>
      </c>
      <c r="O20" s="2" t="s">
        <v>21</v>
      </c>
      <c r="R20" s="2" t="s">
        <v>24</v>
      </c>
    </row>
    <row r="21" spans="1:18" x14ac:dyDescent="0.3">
      <c r="A21">
        <v>167</v>
      </c>
      <c r="B21">
        <v>3</v>
      </c>
      <c r="C21" t="s">
        <v>18</v>
      </c>
      <c r="E21" t="s">
        <v>71</v>
      </c>
      <c r="F21" t="s">
        <v>20</v>
      </c>
      <c r="G21" t="s">
        <v>21</v>
      </c>
      <c r="H21" t="s">
        <v>20</v>
      </c>
      <c r="N21" t="s">
        <v>40</v>
      </c>
      <c r="O21" t="s">
        <v>21</v>
      </c>
      <c r="R21" t="s">
        <v>24</v>
      </c>
    </row>
    <row r="22" spans="1:18" x14ac:dyDescent="0.3">
      <c r="A22">
        <v>175</v>
      </c>
      <c r="B22" t="s">
        <v>72</v>
      </c>
      <c r="E22" t="s">
        <v>73</v>
      </c>
      <c r="F22" t="s">
        <v>21</v>
      </c>
      <c r="G22" t="s">
        <v>21</v>
      </c>
      <c r="H22" t="s">
        <v>21</v>
      </c>
      <c r="I22" t="s">
        <v>74</v>
      </c>
      <c r="N22" t="s">
        <v>40</v>
      </c>
      <c r="O22" t="s">
        <v>21</v>
      </c>
      <c r="R22" t="s">
        <v>24</v>
      </c>
    </row>
    <row r="23" spans="1:18" x14ac:dyDescent="0.3">
      <c r="A23">
        <v>183</v>
      </c>
      <c r="B23" t="s">
        <v>75</v>
      </c>
      <c r="E23" t="s">
        <v>76</v>
      </c>
      <c r="F23" t="s">
        <v>21</v>
      </c>
      <c r="G23" t="s">
        <v>21</v>
      </c>
      <c r="H23" t="s">
        <v>21</v>
      </c>
      <c r="I23" t="e">
        <f ca="1">-SALDEB(11417)</f>
        <v>#NAME?</v>
      </c>
      <c r="N23" t="s">
        <v>40</v>
      </c>
      <c r="O23" t="s">
        <v>21</v>
      </c>
      <c r="R23" t="s">
        <v>24</v>
      </c>
    </row>
    <row r="24" spans="1:18" x14ac:dyDescent="0.3">
      <c r="A24">
        <v>191</v>
      </c>
      <c r="B24" t="s">
        <v>77</v>
      </c>
      <c r="E24" t="s">
        <v>78</v>
      </c>
      <c r="F24" t="s">
        <v>21</v>
      </c>
      <c r="G24" t="s">
        <v>21</v>
      </c>
      <c r="H24" t="s">
        <v>21</v>
      </c>
      <c r="I24" t="e">
        <f ca="1">-SALDEB(11289)</f>
        <v>#NAME?</v>
      </c>
      <c r="N24" t="s">
        <v>40</v>
      </c>
      <c r="O24" t="s">
        <v>21</v>
      </c>
      <c r="R24" t="s">
        <v>24</v>
      </c>
    </row>
    <row r="25" spans="1:18" x14ac:dyDescent="0.3">
      <c r="A25">
        <v>308</v>
      </c>
      <c r="B25" t="s">
        <v>79</v>
      </c>
      <c r="E25" t="s">
        <v>80</v>
      </c>
      <c r="F25" t="s">
        <v>21</v>
      </c>
      <c r="G25" t="s">
        <v>21</v>
      </c>
      <c r="H25" t="s">
        <v>21</v>
      </c>
      <c r="N25" t="s">
        <v>40</v>
      </c>
      <c r="O25" t="s">
        <v>21</v>
      </c>
      <c r="R25" t="s">
        <v>24</v>
      </c>
    </row>
    <row r="26" spans="1:18" x14ac:dyDescent="0.3">
      <c r="A26">
        <v>205</v>
      </c>
      <c r="B26" t="s">
        <v>81</v>
      </c>
      <c r="C26" t="s">
        <v>18</v>
      </c>
      <c r="E26" t="s">
        <v>82</v>
      </c>
      <c r="F26" t="s">
        <v>21</v>
      </c>
      <c r="G26" t="s">
        <v>21</v>
      </c>
      <c r="H26" t="s">
        <v>21</v>
      </c>
      <c r="I26" t="s">
        <v>83</v>
      </c>
      <c r="N26" t="s">
        <v>40</v>
      </c>
      <c r="O26" t="s">
        <v>21</v>
      </c>
      <c r="R26" t="s">
        <v>24</v>
      </c>
    </row>
    <row r="27" spans="1:18" x14ac:dyDescent="0.3">
      <c r="A27">
        <v>213</v>
      </c>
      <c r="B27">
        <v>4</v>
      </c>
      <c r="C27" t="s">
        <v>18</v>
      </c>
      <c r="E27" t="s">
        <v>84</v>
      </c>
      <c r="F27" t="s">
        <v>20</v>
      </c>
      <c r="G27" t="s">
        <v>21</v>
      </c>
      <c r="H27" t="s">
        <v>20</v>
      </c>
      <c r="N27" t="s">
        <v>40</v>
      </c>
      <c r="O27" t="s">
        <v>21</v>
      </c>
      <c r="R27" t="s">
        <v>24</v>
      </c>
    </row>
    <row r="28" spans="1:18" x14ac:dyDescent="0.3">
      <c r="A28">
        <v>221</v>
      </c>
      <c r="B28" t="s">
        <v>85</v>
      </c>
      <c r="E28" t="s">
        <v>86</v>
      </c>
      <c r="F28" t="s">
        <v>21</v>
      </c>
      <c r="G28" t="s">
        <v>21</v>
      </c>
      <c r="H28" t="s">
        <v>21</v>
      </c>
      <c r="I28" t="s">
        <v>87</v>
      </c>
      <c r="N28" t="s">
        <v>40</v>
      </c>
      <c r="O28" t="s">
        <v>21</v>
      </c>
      <c r="R28" t="s">
        <v>24</v>
      </c>
    </row>
    <row r="29" spans="1:18" x14ac:dyDescent="0.3">
      <c r="A29">
        <v>230</v>
      </c>
      <c r="B29" t="s">
        <v>88</v>
      </c>
      <c r="E29" t="s">
        <v>89</v>
      </c>
      <c r="F29" t="s">
        <v>21</v>
      </c>
      <c r="G29" t="s">
        <v>21</v>
      </c>
      <c r="H29" t="s">
        <v>21</v>
      </c>
      <c r="I29" t="s">
        <v>90</v>
      </c>
      <c r="N29" t="s">
        <v>40</v>
      </c>
      <c r="O29" t="s">
        <v>21</v>
      </c>
      <c r="R29" t="s">
        <v>24</v>
      </c>
    </row>
    <row r="30" spans="1:18" x14ac:dyDescent="0.3">
      <c r="A30">
        <v>248</v>
      </c>
      <c r="B30" t="s">
        <v>91</v>
      </c>
      <c r="E30" t="s">
        <v>92</v>
      </c>
      <c r="F30" t="s">
        <v>21</v>
      </c>
      <c r="G30" t="s">
        <v>21</v>
      </c>
      <c r="H30" t="s">
        <v>21</v>
      </c>
      <c r="I30" t="s">
        <v>93</v>
      </c>
      <c r="N30" t="s">
        <v>40</v>
      </c>
      <c r="O30" t="s">
        <v>21</v>
      </c>
      <c r="R30" t="s">
        <v>24</v>
      </c>
    </row>
    <row r="31" spans="1:18" x14ac:dyDescent="0.3">
      <c r="A31">
        <v>306</v>
      </c>
      <c r="B31" t="s">
        <v>94</v>
      </c>
      <c r="E31" t="s">
        <v>95</v>
      </c>
      <c r="F31" t="s">
        <v>21</v>
      </c>
      <c r="G31" t="s">
        <v>21</v>
      </c>
      <c r="H31" t="s">
        <v>21</v>
      </c>
      <c r="I31" t="s">
        <v>96</v>
      </c>
      <c r="N31" t="s">
        <v>40</v>
      </c>
      <c r="O31" t="s">
        <v>21</v>
      </c>
      <c r="R31" t="s">
        <v>24</v>
      </c>
    </row>
    <row r="32" spans="1:18" x14ac:dyDescent="0.3">
      <c r="A32">
        <v>179</v>
      </c>
      <c r="B32" t="s">
        <v>97</v>
      </c>
      <c r="E32" t="s">
        <v>98</v>
      </c>
      <c r="F32" t="s">
        <v>21</v>
      </c>
      <c r="G32" t="s">
        <v>21</v>
      </c>
      <c r="H32" t="s">
        <v>21</v>
      </c>
      <c r="I32" t="e">
        <f ca="1">-MOVPER(11023)-MOVPER(20856)-MOVPER(11081)</f>
        <v>#NAME?</v>
      </c>
      <c r="N32" t="s">
        <v>40</v>
      </c>
      <c r="O32" t="s">
        <v>21</v>
      </c>
      <c r="R32" t="s">
        <v>24</v>
      </c>
    </row>
    <row r="33" spans="1:18" x14ac:dyDescent="0.3">
      <c r="A33">
        <v>264</v>
      </c>
      <c r="B33" t="s">
        <v>99</v>
      </c>
      <c r="C33" t="s">
        <v>18</v>
      </c>
      <c r="E33" t="s">
        <v>100</v>
      </c>
      <c r="F33" t="s">
        <v>21</v>
      </c>
      <c r="G33" t="s">
        <v>21</v>
      </c>
      <c r="H33" t="s">
        <v>21</v>
      </c>
      <c r="I33" t="s">
        <v>101</v>
      </c>
      <c r="N33" t="s">
        <v>40</v>
      </c>
      <c r="O33" t="s">
        <v>21</v>
      </c>
      <c r="R33" t="s">
        <v>24</v>
      </c>
    </row>
    <row r="34" spans="1:18" x14ac:dyDescent="0.3">
      <c r="A34">
        <v>272</v>
      </c>
      <c r="B34">
        <v>5</v>
      </c>
      <c r="C34" t="s">
        <v>18</v>
      </c>
      <c r="E34" t="s">
        <v>102</v>
      </c>
      <c r="F34" t="s">
        <v>20</v>
      </c>
      <c r="G34" t="s">
        <v>21</v>
      </c>
      <c r="H34" t="s">
        <v>21</v>
      </c>
      <c r="I34" t="s">
        <v>103</v>
      </c>
      <c r="N34" t="s">
        <v>23</v>
      </c>
      <c r="O34" t="s">
        <v>21</v>
      </c>
      <c r="R34" t="s">
        <v>24</v>
      </c>
    </row>
    <row r="35" spans="1:18" x14ac:dyDescent="0.3">
      <c r="A35">
        <v>280</v>
      </c>
      <c r="B35">
        <v>6</v>
      </c>
      <c r="C35" t="s">
        <v>18</v>
      </c>
      <c r="E35" t="s">
        <v>104</v>
      </c>
      <c r="F35" t="s">
        <v>21</v>
      </c>
      <c r="G35" t="s">
        <v>21</v>
      </c>
      <c r="H35" t="s">
        <v>21</v>
      </c>
      <c r="I35" t="s">
        <v>105</v>
      </c>
      <c r="N35" t="s">
        <v>40</v>
      </c>
      <c r="O35" t="s">
        <v>21</v>
      </c>
      <c r="R35" t="s">
        <v>24</v>
      </c>
    </row>
    <row r="36" spans="1:18" x14ac:dyDescent="0.3">
      <c r="A36">
        <v>299</v>
      </c>
      <c r="B36">
        <v>7</v>
      </c>
      <c r="C36" t="s">
        <v>18</v>
      </c>
      <c r="E36" t="s">
        <v>106</v>
      </c>
      <c r="F36" t="s">
        <v>21</v>
      </c>
      <c r="G36" t="s">
        <v>21</v>
      </c>
      <c r="H36" t="s">
        <v>21</v>
      </c>
      <c r="I36" t="s">
        <v>107</v>
      </c>
      <c r="N36" t="s">
        <v>23</v>
      </c>
      <c r="O36" t="s">
        <v>21</v>
      </c>
      <c r="R36" t="s">
        <v>24</v>
      </c>
    </row>
    <row r="37" spans="1:18" x14ac:dyDescent="0.3">
      <c r="A37">
        <v>302</v>
      </c>
      <c r="B37">
        <v>8</v>
      </c>
      <c r="C37" t="s">
        <v>18</v>
      </c>
      <c r="E37" t="s">
        <v>108</v>
      </c>
      <c r="F37" t="s">
        <v>20</v>
      </c>
      <c r="G37" t="s">
        <v>21</v>
      </c>
      <c r="H37" t="s">
        <v>21</v>
      </c>
      <c r="I37" t="s">
        <v>109</v>
      </c>
      <c r="N37" t="s">
        <v>23</v>
      </c>
      <c r="O37" t="s">
        <v>21</v>
      </c>
      <c r="R37" t="s">
        <v>24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dfc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 Abud</dc:creator>
  <cp:lastModifiedBy>Karim Abud</cp:lastModifiedBy>
  <dcterms:created xsi:type="dcterms:W3CDTF">2026-03-06T19:08:17Z</dcterms:created>
  <dcterms:modified xsi:type="dcterms:W3CDTF">2026-03-06T19:08:17Z</dcterms:modified>
</cp:coreProperties>
</file>